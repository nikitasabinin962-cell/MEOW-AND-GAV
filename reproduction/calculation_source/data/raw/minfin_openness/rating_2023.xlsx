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definedNames>
    <definedName name="_xlnm._FilterDatabase" localSheetId="0" hidden="1">Лист2!$B$7:$L$70</definedName>
  </definedNames>
  <calcPr calcId="152511"/>
</workbook>
</file>

<file path=xl/calcChain.xml><?xml version="1.0" encoding="utf-8"?>
<calcChain xmlns="http://schemas.openxmlformats.org/spreadsheetml/2006/main">
  <c r="L74" i="2" l="1"/>
  <c r="L73" i="2"/>
  <c r="L72" i="2"/>
  <c r="L9" i="2" l="1"/>
  <c r="L8" i="2"/>
  <c r="L38" i="2"/>
  <c r="L44" i="2" l="1"/>
  <c r="L18" i="2"/>
  <c r="L7" i="2"/>
  <c r="L70" i="2" l="1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3" i="2"/>
  <c r="L42" i="2"/>
  <c r="L41" i="2"/>
  <c r="L40" i="2"/>
  <c r="L39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7" i="2"/>
  <c r="L16" i="2"/>
  <c r="L15" i="2"/>
  <c r="L14" i="2"/>
  <c r="L13" i="2"/>
  <c r="L12" i="2"/>
  <c r="L11" i="2"/>
  <c r="L10" i="2"/>
  <c r="K8" i="2" l="1"/>
  <c r="K16" i="2"/>
  <c r="K32" i="2"/>
  <c r="K48" i="2"/>
  <c r="K64" i="2"/>
  <c r="K19" i="2"/>
  <c r="K21" i="2"/>
  <c r="K57" i="2"/>
  <c r="K50" i="2"/>
  <c r="K26" i="2"/>
  <c r="K53" i="2"/>
  <c r="K38" i="2"/>
  <c r="K54" i="2"/>
  <c r="K31" i="2"/>
  <c r="K15" i="2"/>
  <c r="K34" i="2"/>
  <c r="K66" i="2"/>
  <c r="K42" i="2"/>
  <c r="K62" i="2"/>
  <c r="K12" i="2"/>
  <c r="K20" i="2"/>
  <c r="K28" i="2"/>
  <c r="K36" i="2"/>
  <c r="K44" i="2"/>
  <c r="K52" i="2"/>
  <c r="K60" i="2"/>
  <c r="K68" i="2"/>
  <c r="K63" i="2"/>
  <c r="K55" i="2"/>
  <c r="K47" i="2"/>
  <c r="K39" i="2"/>
  <c r="K23" i="2"/>
  <c r="K9" i="2"/>
  <c r="K17" i="2"/>
  <c r="K25" i="2"/>
  <c r="K33" i="2"/>
  <c r="K49" i="2"/>
  <c r="K65" i="2"/>
  <c r="K14" i="2"/>
  <c r="K22" i="2"/>
  <c r="K45" i="2"/>
  <c r="K61" i="2"/>
  <c r="K10" i="2"/>
  <c r="K46" i="2"/>
  <c r="K24" i="2"/>
  <c r="K40" i="2"/>
  <c r="K56" i="2"/>
  <c r="K67" i="2"/>
  <c r="K59" i="2"/>
  <c r="K51" i="2"/>
  <c r="K43" i="2"/>
  <c r="K35" i="2"/>
  <c r="K27" i="2"/>
  <c r="K11" i="2"/>
  <c r="K13" i="2"/>
  <c r="K29" i="2"/>
  <c r="K41" i="2"/>
  <c r="K30" i="2"/>
  <c r="K18" i="2"/>
  <c r="K58" i="2"/>
  <c r="K37" i="2"/>
  <c r="K69" i="2"/>
  <c r="K70" i="2"/>
</calcChain>
</file>

<file path=xl/sharedStrings.xml><?xml version="1.0" encoding="utf-8"?>
<sst xmlns="http://schemas.openxmlformats.org/spreadsheetml/2006/main" count="333" uniqueCount="104">
  <si>
    <t xml:space="preserve">Максимальное количество баллов </t>
  </si>
  <si>
    <t>Архангельский район</t>
  </si>
  <si>
    <t>Мелеузовский район</t>
  </si>
  <si>
    <t>город Кумертау</t>
  </si>
  <si>
    <t>город Сибай</t>
  </si>
  <si>
    <t>Альшеевский район</t>
  </si>
  <si>
    <t>город Октябрьский</t>
  </si>
  <si>
    <t>Краснокамский район</t>
  </si>
  <si>
    <t>Давлекановский район</t>
  </si>
  <si>
    <t>Кигинский район</t>
  </si>
  <si>
    <t>Мечетлинский район</t>
  </si>
  <si>
    <t>Учалинский район</t>
  </si>
  <si>
    <t>город Уфа</t>
  </si>
  <si>
    <t>Бижбулякский район</t>
  </si>
  <si>
    <t>Бурзянский район</t>
  </si>
  <si>
    <t>Куюргазинский район</t>
  </si>
  <si>
    <t>Зилаирский район</t>
  </si>
  <si>
    <t>Нуримановский район</t>
  </si>
  <si>
    <t>Уфимский район</t>
  </si>
  <si>
    <t>Хайбуллинский район</t>
  </si>
  <si>
    <t>город Агидель</t>
  </si>
  <si>
    <t>Абзелиловский район</t>
  </si>
  <si>
    <t>Чишминский район</t>
  </si>
  <si>
    <t>Шаранский район</t>
  </si>
  <si>
    <t>Татышлинский район</t>
  </si>
  <si>
    <t>Аургазинский район</t>
  </si>
  <si>
    <t>Стерлибашевский район</t>
  </si>
  <si>
    <t>Балтачевский район</t>
  </si>
  <si>
    <t>Караидельский район</t>
  </si>
  <si>
    <t>Чекмагушевский район</t>
  </si>
  <si>
    <t>Благоварский район</t>
  </si>
  <si>
    <t>Туймазинский район</t>
  </si>
  <si>
    <t>Калтасинский район</t>
  </si>
  <si>
    <t>Федоровский район</t>
  </si>
  <si>
    <t>Бураевский район</t>
  </si>
  <si>
    <t>город Нефтекамск</t>
  </si>
  <si>
    <t>Миякинский район</t>
  </si>
  <si>
    <t>Баймакский район</t>
  </si>
  <si>
    <t>Аскинский район</t>
  </si>
  <si>
    <t>Бирский район</t>
  </si>
  <si>
    <t>Белебеевский район</t>
  </si>
  <si>
    <t>Белокатайский район</t>
  </si>
  <si>
    <t>Ермекеевский район</t>
  </si>
  <si>
    <t>Кармаскалинский район</t>
  </si>
  <si>
    <t>Белорецкий район</t>
  </si>
  <si>
    <t>Мишкинский район</t>
  </si>
  <si>
    <t>Стерлитамакский район</t>
  </si>
  <si>
    <t>город Стерлитамак</t>
  </si>
  <si>
    <t>Гафурийский район</t>
  </si>
  <si>
    <t>Дюртюлинский район</t>
  </si>
  <si>
    <t>Иглинский район</t>
  </si>
  <si>
    <t>Ишимбайский район</t>
  </si>
  <si>
    <t>Илишевский район</t>
  </si>
  <si>
    <t>Благовещенский район</t>
  </si>
  <si>
    <t>Буздякский район</t>
  </si>
  <si>
    <t>Кугарчинский район</t>
  </si>
  <si>
    <t>Кушнаренковский район</t>
  </si>
  <si>
    <t>Янаульский район</t>
  </si>
  <si>
    <t>город Салават</t>
  </si>
  <si>
    <t>Бакалинский район</t>
  </si>
  <si>
    <t>Салаватский район</t>
  </si>
  <si>
    <t>Зианчуринский район</t>
  </si>
  <si>
    <t>Дуванский район</t>
  </si>
  <si>
    <t>город Межгорье</t>
  </si>
  <si>
    <t>61</t>
  </si>
  <si>
    <t>60</t>
  </si>
  <si>
    <t>63</t>
  </si>
  <si>
    <t>62</t>
  </si>
  <si>
    <t>61-62</t>
  </si>
  <si>
    <t>I этап                              «Характеристика первоначально утвержденного бюджета муниципального образования РБ»</t>
  </si>
  <si>
    <t>II этап                        «Годовой отчет об исполнении бюджета муниципального образования РБ»</t>
  </si>
  <si>
    <t>III этап                                    «Исполнение бюджета муниципального образования РБ и финансовый контроль, инфраструктура для обеспечения открытости бюджетных данных»</t>
  </si>
  <si>
    <t xml:space="preserve">место по Республике Башкортостан </t>
  </si>
  <si>
    <t>итого баллов</t>
  </si>
  <si>
    <t xml:space="preserve">Муниципальные образования </t>
  </si>
  <si>
    <t>№ п/п</t>
  </si>
  <si>
    <t>IV этап                   «Составление проекта бюджета муниципального образования РБ»</t>
  </si>
  <si>
    <t>53-58</t>
  </si>
  <si>
    <t>59</t>
  </si>
  <si>
    <t>42-47</t>
  </si>
  <si>
    <t>48-57</t>
  </si>
  <si>
    <t>1-27</t>
  </si>
  <si>
    <t>58-61</t>
  </si>
  <si>
    <t>28-35</t>
  </si>
  <si>
    <t>36-41</t>
  </si>
  <si>
    <t>62-63</t>
  </si>
  <si>
    <t>42-49</t>
  </si>
  <si>
    <t>34-41</t>
  </si>
  <si>
    <t>53-60</t>
  </si>
  <si>
    <t>50-52</t>
  </si>
  <si>
    <t>28-33</t>
  </si>
  <si>
    <t>55-60</t>
  </si>
  <si>
    <t>42-48</t>
  </si>
  <si>
    <t>49-54</t>
  </si>
  <si>
    <t>1-21</t>
  </si>
  <si>
    <t>24-29</t>
  </si>
  <si>
    <t>22-23</t>
  </si>
  <si>
    <t>34-35</t>
  </si>
  <si>
    <t>30-33</t>
  </si>
  <si>
    <t>51-52</t>
  </si>
  <si>
    <t>Рейтинг муниципальных образований Республики Башкортостан                                                                                                                                          по уровню открытости бюджетных данных по итогам 2023 года</t>
  </si>
  <si>
    <t>1-38</t>
  </si>
  <si>
    <t>39-41</t>
  </si>
  <si>
    <t>42-50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</si>
</sst>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_-* #,##0.00_р_._-;\-* #,##0.00_р_._-;_-* &quot;-&quot;??_р_._-;_-@_-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name val="Courier New Cyr"/>
      <charset val="204"/>
    </font>
    <font>
      <b/>
      <sz val="10"/>
      <color rgb="FF000000"/>
      <name val="Arial Cy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164" fontId="5" fillId="3" borderId="2">
      <alignment horizontal="right" vertical="top" shrinkToFit="1"/>
    </xf>
    <xf numFmtId="0" fontId="6" fillId="0" borderId="0"/>
    <xf numFmtId="0" fontId="7" fillId="0" borderId="0"/>
    <xf numFmtId="0" fontId="2" fillId="0" borderId="0"/>
    <xf numFmtId="0" fontId="8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10" fillId="2" borderId="0" xfId="0" applyFont="1" applyFill="1"/>
    <xf numFmtId="0" fontId="3" fillId="2" borderId="0" xfId="0" applyFont="1" applyFill="1"/>
    <xf numFmtId="0" fontId="3" fillId="2" borderId="0" xfId="0" applyFont="1" applyFill="1" applyBorder="1"/>
    <xf numFmtId="166" fontId="3" fillId="2" borderId="0" xfId="0" applyNumberFormat="1" applyFont="1" applyFill="1" applyBorder="1"/>
    <xf numFmtId="0" fontId="10" fillId="2" borderId="0" xfId="0" applyFont="1" applyFill="1" applyBorder="1"/>
    <xf numFmtId="166" fontId="10" fillId="2" borderId="0" xfId="0" applyNumberFormat="1" applyFont="1" applyFill="1" applyBorder="1"/>
    <xf numFmtId="0" fontId="13" fillId="2" borderId="0" xfId="0" applyFont="1" applyFill="1"/>
    <xf numFmtId="0" fontId="15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/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" fontId="18" fillId="4" borderId="0" xfId="0" applyNumberFormat="1" applyFont="1" applyFill="1"/>
    <xf numFmtId="0" fontId="18" fillId="0" borderId="0" xfId="0" applyFont="1"/>
  </cellXfs>
  <cellStyles count="12">
    <cellStyle name="Îáű÷íűé_ÂŰŐÎÄ" xfId="2"/>
    <cellStyle name="xl35" xfId="3"/>
    <cellStyle name="Обычный" xfId="0" builtinId="0"/>
    <cellStyle name="Обычный 2" xfId="1"/>
    <cellStyle name="Обычный 2 2" xfId="4"/>
    <cellStyle name="Обычный 2 3" xfId="5"/>
    <cellStyle name="Обычный 3" xfId="6"/>
    <cellStyle name="Обычный 3 2" xfId="7"/>
    <cellStyle name="Финансовый 2" xfId="8"/>
    <cellStyle name="Финансовый 3" xfId="9"/>
    <cellStyle name="Финансовый 3 2" xfId="10"/>
    <cellStyle name="Финансовый 4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4"/>
  <sheetViews>
    <sheetView tabSelected="1" view="pageBreakPreview" zoomScale="80" zoomScaleNormal="85" zoomScaleSheetLayoutView="80" workbookViewId="0">
      <pane xSplit="2" ySplit="7" topLeftCell="C23" activePane="bottomRight" state="frozen"/>
      <selection pane="topRight" activeCell="B1" sqref="B1"/>
      <selection pane="bottomLeft" activeCell="A8" sqref="A8"/>
      <selection pane="bottomRight" activeCell="L75" sqref="L75"/>
    </sheetView>
  </sheetViews>
  <sheetFormatPr defaultRowHeight="15" x14ac:dyDescent="0.25"/>
  <cols>
    <col min="1" max="1" width="6.140625" style="1" customWidth="1"/>
    <col min="2" max="2" width="27.140625" style="2" customWidth="1"/>
    <col min="3" max="3" width="15.7109375" style="2" customWidth="1"/>
    <col min="4" max="4" width="8.7109375" style="1" customWidth="1"/>
    <col min="5" max="5" width="15.7109375" style="2" customWidth="1"/>
    <col min="6" max="6" width="8.7109375" style="1" customWidth="1"/>
    <col min="7" max="7" width="15.7109375" style="2" customWidth="1"/>
    <col min="8" max="8" width="8.7109375" style="1" customWidth="1"/>
    <col min="9" max="9" width="15.7109375" style="2" customWidth="1"/>
    <col min="10" max="10" width="8.7109375" style="1" customWidth="1"/>
    <col min="11" max="11" width="16.85546875" style="2" customWidth="1"/>
    <col min="12" max="12" width="9.7109375" style="1" customWidth="1"/>
    <col min="13" max="16384" width="9.140625" style="1"/>
  </cols>
  <sheetData>
    <row r="2" spans="1:12" ht="36" customHeight="1" x14ac:dyDescent="0.25">
      <c r="A2" s="25" t="s">
        <v>100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9.5" customHeight="1" x14ac:dyDescent="0.25"/>
    <row r="4" spans="1:12" ht="147" customHeight="1" x14ac:dyDescent="0.25">
      <c r="A4" s="24" t="s">
        <v>75</v>
      </c>
      <c r="B4" s="24" t="s">
        <v>74</v>
      </c>
      <c r="C4" s="26" t="s">
        <v>69</v>
      </c>
      <c r="D4" s="27"/>
      <c r="E4" s="26" t="s">
        <v>70</v>
      </c>
      <c r="F4" s="27"/>
      <c r="G4" s="26" t="s">
        <v>71</v>
      </c>
      <c r="H4" s="27"/>
      <c r="I4" s="26" t="s">
        <v>76</v>
      </c>
      <c r="J4" s="27"/>
      <c r="K4" s="28">
        <v>2023</v>
      </c>
      <c r="L4" s="29"/>
    </row>
    <row r="5" spans="1:12" ht="15" customHeight="1" x14ac:dyDescent="0.25">
      <c r="A5" s="24"/>
      <c r="B5" s="24"/>
      <c r="C5" s="24" t="s">
        <v>72</v>
      </c>
      <c r="D5" s="24" t="s">
        <v>73</v>
      </c>
      <c r="E5" s="24" t="s">
        <v>72</v>
      </c>
      <c r="F5" s="24" t="s">
        <v>73</v>
      </c>
      <c r="G5" s="24" t="s">
        <v>72</v>
      </c>
      <c r="H5" s="24" t="s">
        <v>73</v>
      </c>
      <c r="I5" s="24" t="s">
        <v>72</v>
      </c>
      <c r="J5" s="24" t="s">
        <v>73</v>
      </c>
      <c r="K5" s="30" t="s">
        <v>72</v>
      </c>
      <c r="L5" s="30" t="s">
        <v>73</v>
      </c>
    </row>
    <row r="6" spans="1:12" ht="47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30"/>
      <c r="L6" s="30"/>
    </row>
    <row r="7" spans="1:12" s="7" customFormat="1" ht="33" customHeight="1" x14ac:dyDescent="0.25">
      <c r="A7" s="14"/>
      <c r="B7" s="8" t="s">
        <v>0</v>
      </c>
      <c r="C7" s="8"/>
      <c r="D7" s="8">
        <v>24</v>
      </c>
      <c r="E7" s="8"/>
      <c r="F7" s="8">
        <v>42</v>
      </c>
      <c r="G7" s="8"/>
      <c r="H7" s="8">
        <v>41</v>
      </c>
      <c r="I7" s="8"/>
      <c r="J7" s="9">
        <v>37</v>
      </c>
      <c r="K7" s="8"/>
      <c r="L7" s="9">
        <f>D7+F7+H7+J7</f>
        <v>144</v>
      </c>
    </row>
    <row r="8" spans="1:12" ht="15.75" customHeight="1" x14ac:dyDescent="0.25">
      <c r="A8" s="13">
        <v>1</v>
      </c>
      <c r="B8" s="10" t="s">
        <v>21</v>
      </c>
      <c r="C8" s="11" t="s">
        <v>80</v>
      </c>
      <c r="D8" s="12">
        <v>20</v>
      </c>
      <c r="E8" s="11" t="s">
        <v>66</v>
      </c>
      <c r="F8" s="12">
        <v>33</v>
      </c>
      <c r="G8" s="11" t="s">
        <v>91</v>
      </c>
      <c r="H8" s="12">
        <v>33</v>
      </c>
      <c r="I8" s="11" t="s">
        <v>101</v>
      </c>
      <c r="J8" s="12">
        <v>37</v>
      </c>
      <c r="K8" s="15" t="str">
        <f>RANK(L8,$L$8:$L$70)&amp;IF(COUNTIF($L$8:$L$70,L8)&gt;1,"-"&amp;RANK(L8,$L$8:$L$70)+COUNTIF($L$8:$L$70,L8)-1,"")</f>
        <v>58</v>
      </c>
      <c r="L8" s="16">
        <f>D8+F8+H8+J8</f>
        <v>123</v>
      </c>
    </row>
    <row r="9" spans="1:12" ht="15.75" customHeight="1" x14ac:dyDescent="0.25">
      <c r="A9" s="13">
        <v>2</v>
      </c>
      <c r="B9" s="10" t="s">
        <v>5</v>
      </c>
      <c r="C9" s="11" t="s">
        <v>81</v>
      </c>
      <c r="D9" s="12">
        <v>24</v>
      </c>
      <c r="E9" s="11" t="s">
        <v>81</v>
      </c>
      <c r="F9" s="12">
        <v>42</v>
      </c>
      <c r="G9" s="11" t="s">
        <v>84</v>
      </c>
      <c r="H9" s="12">
        <v>36</v>
      </c>
      <c r="I9" s="11" t="s">
        <v>101</v>
      </c>
      <c r="J9" s="12">
        <v>37</v>
      </c>
      <c r="K9" s="15" t="str">
        <f t="shared" ref="K9:K70" si="0">RANK(L9,$L$8:$L$70)&amp;IF(COUNTIF($L$8:$L$70,L9)&gt;1,"-"&amp;RANK(L9,$L$8:$L$70)+COUNTIF($L$8:$L$70,L9)-1,"")</f>
        <v>20-23</v>
      </c>
      <c r="L9" s="16">
        <f>D9+F9+H9+J9</f>
        <v>139</v>
      </c>
    </row>
    <row r="10" spans="1:12" ht="15.75" customHeight="1" x14ac:dyDescent="0.25">
      <c r="A10" s="13">
        <v>3</v>
      </c>
      <c r="B10" s="10" t="s">
        <v>1</v>
      </c>
      <c r="C10" s="11" t="s">
        <v>81</v>
      </c>
      <c r="D10" s="12">
        <v>24</v>
      </c>
      <c r="E10" s="11" t="s">
        <v>81</v>
      </c>
      <c r="F10" s="12">
        <v>42</v>
      </c>
      <c r="G10" s="11" t="s">
        <v>91</v>
      </c>
      <c r="H10" s="12">
        <v>33</v>
      </c>
      <c r="I10" s="11" t="s">
        <v>101</v>
      </c>
      <c r="J10" s="12">
        <v>37</v>
      </c>
      <c r="K10" s="15" t="str">
        <f t="shared" si="0"/>
        <v>32-36</v>
      </c>
      <c r="L10" s="16">
        <f t="shared" ref="L10:L70" si="1">D10+F10+H10+J10</f>
        <v>136</v>
      </c>
    </row>
    <row r="11" spans="1:12" ht="15.75" customHeight="1" x14ac:dyDescent="0.25">
      <c r="A11" s="13">
        <v>4</v>
      </c>
      <c r="B11" s="10" t="s">
        <v>38</v>
      </c>
      <c r="C11" s="11" t="s">
        <v>81</v>
      </c>
      <c r="D11" s="12">
        <v>24</v>
      </c>
      <c r="E11" s="11" t="s">
        <v>86</v>
      </c>
      <c r="F11" s="12">
        <v>39</v>
      </c>
      <c r="G11" s="11" t="s">
        <v>92</v>
      </c>
      <c r="H11" s="12">
        <v>35</v>
      </c>
      <c r="I11" s="11" t="s">
        <v>101</v>
      </c>
      <c r="J11" s="12">
        <v>37</v>
      </c>
      <c r="K11" s="15" t="str">
        <f t="shared" si="0"/>
        <v>37-40</v>
      </c>
      <c r="L11" s="16">
        <f t="shared" si="1"/>
        <v>135</v>
      </c>
    </row>
    <row r="12" spans="1:12" ht="15.75" customHeight="1" x14ac:dyDescent="0.25">
      <c r="A12" s="13">
        <v>5</v>
      </c>
      <c r="B12" s="10" t="s">
        <v>25</v>
      </c>
      <c r="C12" s="11" t="s">
        <v>82</v>
      </c>
      <c r="D12" s="12">
        <v>19</v>
      </c>
      <c r="E12" s="11" t="s">
        <v>81</v>
      </c>
      <c r="F12" s="12">
        <v>42</v>
      </c>
      <c r="G12" s="11" t="s">
        <v>93</v>
      </c>
      <c r="H12" s="12">
        <v>34</v>
      </c>
      <c r="I12" s="11" t="s">
        <v>102</v>
      </c>
      <c r="J12" s="12">
        <v>36</v>
      </c>
      <c r="K12" s="15" t="str">
        <f t="shared" si="0"/>
        <v>46-47</v>
      </c>
      <c r="L12" s="16">
        <f t="shared" si="1"/>
        <v>131</v>
      </c>
    </row>
    <row r="13" spans="1:12" ht="15.75" customHeight="1" x14ac:dyDescent="0.25">
      <c r="A13" s="13">
        <v>6</v>
      </c>
      <c r="B13" s="10" t="s">
        <v>37</v>
      </c>
      <c r="C13" s="11" t="s">
        <v>79</v>
      </c>
      <c r="D13" s="12">
        <v>21</v>
      </c>
      <c r="E13" s="11" t="s">
        <v>81</v>
      </c>
      <c r="F13" s="12">
        <v>42</v>
      </c>
      <c r="G13" s="11" t="s">
        <v>94</v>
      </c>
      <c r="H13" s="12">
        <v>41</v>
      </c>
      <c r="I13" s="11" t="s">
        <v>101</v>
      </c>
      <c r="J13" s="12">
        <v>37</v>
      </c>
      <c r="K13" s="15" t="str">
        <f t="shared" si="0"/>
        <v>15-18</v>
      </c>
      <c r="L13" s="16">
        <f t="shared" si="1"/>
        <v>141</v>
      </c>
    </row>
    <row r="14" spans="1:12" ht="15.75" customHeight="1" x14ac:dyDescent="0.25">
      <c r="A14" s="13">
        <v>7</v>
      </c>
      <c r="B14" s="10" t="s">
        <v>59</v>
      </c>
      <c r="C14" s="11" t="s">
        <v>83</v>
      </c>
      <c r="D14" s="12">
        <v>23</v>
      </c>
      <c r="E14" s="11" t="s">
        <v>81</v>
      </c>
      <c r="F14" s="12">
        <v>42</v>
      </c>
      <c r="G14" s="11" t="s">
        <v>95</v>
      </c>
      <c r="H14" s="12">
        <v>39</v>
      </c>
      <c r="I14" s="11" t="s">
        <v>101</v>
      </c>
      <c r="J14" s="12">
        <v>37</v>
      </c>
      <c r="K14" s="15" t="str">
        <f t="shared" si="0"/>
        <v>15-18</v>
      </c>
      <c r="L14" s="16">
        <f t="shared" si="1"/>
        <v>141</v>
      </c>
    </row>
    <row r="15" spans="1:12" ht="15.75" customHeight="1" x14ac:dyDescent="0.25">
      <c r="A15" s="13">
        <v>8</v>
      </c>
      <c r="B15" s="10" t="s">
        <v>27</v>
      </c>
      <c r="C15" s="11" t="s">
        <v>80</v>
      </c>
      <c r="D15" s="12">
        <v>20</v>
      </c>
      <c r="E15" s="11" t="s">
        <v>86</v>
      </c>
      <c r="F15" s="12">
        <v>39</v>
      </c>
      <c r="G15" s="11" t="s">
        <v>94</v>
      </c>
      <c r="H15" s="12">
        <v>41</v>
      </c>
      <c r="I15" s="11" t="s">
        <v>103</v>
      </c>
      <c r="J15" s="12">
        <v>35</v>
      </c>
      <c r="K15" s="15" t="str">
        <f t="shared" si="0"/>
        <v>37-40</v>
      </c>
      <c r="L15" s="16">
        <f t="shared" si="1"/>
        <v>135</v>
      </c>
    </row>
    <row r="16" spans="1:12" ht="15.75" customHeight="1" x14ac:dyDescent="0.25">
      <c r="A16" s="13">
        <v>9</v>
      </c>
      <c r="B16" s="10" t="s">
        <v>40</v>
      </c>
      <c r="C16" s="11" t="s">
        <v>81</v>
      </c>
      <c r="D16" s="12">
        <v>24</v>
      </c>
      <c r="E16" s="11" t="s">
        <v>81</v>
      </c>
      <c r="F16" s="12">
        <v>42</v>
      </c>
      <c r="G16" s="11" t="s">
        <v>94</v>
      </c>
      <c r="H16" s="12">
        <v>41</v>
      </c>
      <c r="I16" s="11" t="s">
        <v>101</v>
      </c>
      <c r="J16" s="12">
        <v>37</v>
      </c>
      <c r="K16" s="15" t="str">
        <f t="shared" si="0"/>
        <v>1-11</v>
      </c>
      <c r="L16" s="16">
        <f t="shared" si="1"/>
        <v>144</v>
      </c>
    </row>
    <row r="17" spans="1:12" ht="15.75" customHeight="1" x14ac:dyDescent="0.25">
      <c r="A17" s="13">
        <v>10</v>
      </c>
      <c r="B17" s="10" t="s">
        <v>41</v>
      </c>
      <c r="C17" s="11" t="s">
        <v>81</v>
      </c>
      <c r="D17" s="12">
        <v>24</v>
      </c>
      <c r="E17" s="11" t="s">
        <v>87</v>
      </c>
      <c r="F17" s="12">
        <v>40</v>
      </c>
      <c r="G17" s="11" t="s">
        <v>93</v>
      </c>
      <c r="H17" s="12">
        <v>34</v>
      </c>
      <c r="I17" s="11" t="s">
        <v>101</v>
      </c>
      <c r="J17" s="12">
        <v>37</v>
      </c>
      <c r="K17" s="15" t="str">
        <f t="shared" si="0"/>
        <v>37-40</v>
      </c>
      <c r="L17" s="16">
        <f t="shared" si="1"/>
        <v>135</v>
      </c>
    </row>
    <row r="18" spans="1:12" ht="15.75" customHeight="1" x14ac:dyDescent="0.25">
      <c r="A18" s="13">
        <v>11</v>
      </c>
      <c r="B18" s="10" t="s">
        <v>44</v>
      </c>
      <c r="C18" s="11" t="s">
        <v>83</v>
      </c>
      <c r="D18" s="12">
        <v>23</v>
      </c>
      <c r="E18" s="11" t="s">
        <v>86</v>
      </c>
      <c r="F18" s="12">
        <v>39</v>
      </c>
      <c r="G18" s="11" t="s">
        <v>94</v>
      </c>
      <c r="H18" s="12">
        <v>41</v>
      </c>
      <c r="I18" s="11" t="s">
        <v>101</v>
      </c>
      <c r="J18" s="12">
        <v>37</v>
      </c>
      <c r="K18" s="15" t="str">
        <f t="shared" si="0"/>
        <v>19</v>
      </c>
      <c r="L18" s="16">
        <f t="shared" si="1"/>
        <v>140</v>
      </c>
    </row>
    <row r="19" spans="1:12" ht="15.75" customHeight="1" x14ac:dyDescent="0.25">
      <c r="A19" s="13">
        <v>12</v>
      </c>
      <c r="B19" s="10" t="s">
        <v>13</v>
      </c>
      <c r="C19" s="11" t="s">
        <v>79</v>
      </c>
      <c r="D19" s="12">
        <v>21</v>
      </c>
      <c r="E19" s="11" t="s">
        <v>86</v>
      </c>
      <c r="F19" s="12">
        <v>39</v>
      </c>
      <c r="G19" s="11" t="s">
        <v>92</v>
      </c>
      <c r="H19" s="12">
        <v>35</v>
      </c>
      <c r="I19" s="11" t="s">
        <v>77</v>
      </c>
      <c r="J19" s="12">
        <v>33</v>
      </c>
      <c r="K19" s="15" t="str">
        <f t="shared" si="0"/>
        <v>53-55</v>
      </c>
      <c r="L19" s="16">
        <f t="shared" si="1"/>
        <v>128</v>
      </c>
    </row>
    <row r="20" spans="1:12" ht="15.75" customHeight="1" x14ac:dyDescent="0.25">
      <c r="A20" s="13">
        <v>13</v>
      </c>
      <c r="B20" s="10" t="s">
        <v>39</v>
      </c>
      <c r="C20" s="11" t="s">
        <v>84</v>
      </c>
      <c r="D20" s="12">
        <v>22</v>
      </c>
      <c r="E20" s="11" t="s">
        <v>88</v>
      </c>
      <c r="F20" s="12">
        <v>37</v>
      </c>
      <c r="G20" s="11" t="s">
        <v>92</v>
      </c>
      <c r="H20" s="12">
        <v>35</v>
      </c>
      <c r="I20" s="11" t="s">
        <v>103</v>
      </c>
      <c r="J20" s="12">
        <v>35</v>
      </c>
      <c r="K20" s="15" t="str">
        <f t="shared" si="0"/>
        <v>50-52</v>
      </c>
      <c r="L20" s="16">
        <f t="shared" si="1"/>
        <v>129</v>
      </c>
    </row>
    <row r="21" spans="1:12" ht="15.75" customHeight="1" x14ac:dyDescent="0.25">
      <c r="A21" s="13">
        <v>14</v>
      </c>
      <c r="B21" s="10" t="s">
        <v>30</v>
      </c>
      <c r="C21" s="11" t="s">
        <v>79</v>
      </c>
      <c r="D21" s="12">
        <v>21</v>
      </c>
      <c r="E21" s="11" t="s">
        <v>89</v>
      </c>
      <c r="F21" s="12">
        <v>38</v>
      </c>
      <c r="G21" s="11" t="s">
        <v>95</v>
      </c>
      <c r="H21" s="12">
        <v>39</v>
      </c>
      <c r="I21" s="11" t="s">
        <v>65</v>
      </c>
      <c r="J21" s="12">
        <v>30</v>
      </c>
      <c r="K21" s="15" t="str">
        <f t="shared" si="0"/>
        <v>53-55</v>
      </c>
      <c r="L21" s="16">
        <f t="shared" si="1"/>
        <v>128</v>
      </c>
    </row>
    <row r="22" spans="1:12" ht="15.75" customHeight="1" x14ac:dyDescent="0.25">
      <c r="A22" s="13">
        <v>15</v>
      </c>
      <c r="B22" s="10" t="s">
        <v>53</v>
      </c>
      <c r="C22" s="11" t="s">
        <v>83</v>
      </c>
      <c r="D22" s="12">
        <v>23</v>
      </c>
      <c r="E22" s="11" t="s">
        <v>86</v>
      </c>
      <c r="F22" s="12">
        <v>39</v>
      </c>
      <c r="G22" s="11" t="s">
        <v>96</v>
      </c>
      <c r="H22" s="12">
        <v>40</v>
      </c>
      <c r="I22" s="11" t="s">
        <v>102</v>
      </c>
      <c r="J22" s="12">
        <v>36</v>
      </c>
      <c r="K22" s="15" t="str">
        <f t="shared" si="0"/>
        <v>24-28</v>
      </c>
      <c r="L22" s="16">
        <f t="shared" si="1"/>
        <v>138</v>
      </c>
    </row>
    <row r="23" spans="1:12" ht="15.75" customHeight="1" x14ac:dyDescent="0.25">
      <c r="A23" s="13">
        <v>16</v>
      </c>
      <c r="B23" s="10" t="s">
        <v>54</v>
      </c>
      <c r="C23" s="11" t="s">
        <v>81</v>
      </c>
      <c r="D23" s="12">
        <v>24</v>
      </c>
      <c r="E23" s="11" t="s">
        <v>90</v>
      </c>
      <c r="F23" s="12">
        <v>41</v>
      </c>
      <c r="G23" s="11" t="s">
        <v>94</v>
      </c>
      <c r="H23" s="12">
        <v>41</v>
      </c>
      <c r="I23" s="11" t="s">
        <v>101</v>
      </c>
      <c r="J23" s="12">
        <v>37</v>
      </c>
      <c r="K23" s="15" t="str">
        <f t="shared" si="0"/>
        <v>12-13</v>
      </c>
      <c r="L23" s="16">
        <f t="shared" si="1"/>
        <v>143</v>
      </c>
    </row>
    <row r="24" spans="1:12" ht="15.75" customHeight="1" x14ac:dyDescent="0.25">
      <c r="A24" s="13">
        <v>17</v>
      </c>
      <c r="B24" s="10" t="s">
        <v>34</v>
      </c>
      <c r="C24" s="11" t="s">
        <v>81</v>
      </c>
      <c r="D24" s="12">
        <v>24</v>
      </c>
      <c r="E24" s="11" t="s">
        <v>88</v>
      </c>
      <c r="F24" s="12">
        <v>37</v>
      </c>
      <c r="G24" s="11" t="s">
        <v>94</v>
      </c>
      <c r="H24" s="12">
        <v>41</v>
      </c>
      <c r="I24" s="11" t="s">
        <v>101</v>
      </c>
      <c r="J24" s="12">
        <v>37</v>
      </c>
      <c r="K24" s="15" t="str">
        <f t="shared" si="0"/>
        <v>20-23</v>
      </c>
      <c r="L24" s="16">
        <f t="shared" si="1"/>
        <v>139</v>
      </c>
    </row>
    <row r="25" spans="1:12" ht="15.75" customHeight="1" x14ac:dyDescent="0.25">
      <c r="A25" s="13">
        <v>18</v>
      </c>
      <c r="B25" s="10" t="s">
        <v>14</v>
      </c>
      <c r="C25" s="11" t="s">
        <v>80</v>
      </c>
      <c r="D25" s="12">
        <v>20</v>
      </c>
      <c r="E25" s="11" t="s">
        <v>90</v>
      </c>
      <c r="F25" s="12">
        <v>41</v>
      </c>
      <c r="G25" s="11" t="s">
        <v>92</v>
      </c>
      <c r="H25" s="12">
        <v>35</v>
      </c>
      <c r="I25" s="11" t="s">
        <v>101</v>
      </c>
      <c r="J25" s="12">
        <v>37</v>
      </c>
      <c r="K25" s="15" t="str">
        <f t="shared" si="0"/>
        <v>43-44</v>
      </c>
      <c r="L25" s="16">
        <f t="shared" si="1"/>
        <v>133</v>
      </c>
    </row>
    <row r="26" spans="1:12" ht="15.75" customHeight="1" x14ac:dyDescent="0.25">
      <c r="A26" s="13">
        <v>19</v>
      </c>
      <c r="B26" s="10" t="s">
        <v>48</v>
      </c>
      <c r="C26" s="11" t="s">
        <v>84</v>
      </c>
      <c r="D26" s="12">
        <v>22</v>
      </c>
      <c r="E26" s="11" t="s">
        <v>89</v>
      </c>
      <c r="F26" s="12">
        <v>38</v>
      </c>
      <c r="G26" s="11" t="s">
        <v>91</v>
      </c>
      <c r="H26" s="12">
        <v>33</v>
      </c>
      <c r="I26" s="11" t="s">
        <v>101</v>
      </c>
      <c r="J26" s="12">
        <v>37</v>
      </c>
      <c r="K26" s="15" t="str">
        <f t="shared" si="0"/>
        <v>48-49</v>
      </c>
      <c r="L26" s="16">
        <f t="shared" si="1"/>
        <v>130</v>
      </c>
    </row>
    <row r="27" spans="1:12" ht="15.75" customHeight="1" x14ac:dyDescent="0.25">
      <c r="A27" s="13">
        <v>20</v>
      </c>
      <c r="B27" s="10" t="s">
        <v>8</v>
      </c>
      <c r="C27" s="11" t="s">
        <v>83</v>
      </c>
      <c r="D27" s="12">
        <v>23</v>
      </c>
      <c r="E27" s="11" t="s">
        <v>81</v>
      </c>
      <c r="F27" s="12">
        <v>42</v>
      </c>
      <c r="G27" s="11" t="s">
        <v>97</v>
      </c>
      <c r="H27" s="12">
        <v>37</v>
      </c>
      <c r="I27" s="11" t="s">
        <v>101</v>
      </c>
      <c r="J27" s="12">
        <v>37</v>
      </c>
      <c r="K27" s="15" t="str">
        <f t="shared" si="0"/>
        <v>20-23</v>
      </c>
      <c r="L27" s="16">
        <f t="shared" si="1"/>
        <v>139</v>
      </c>
    </row>
    <row r="28" spans="1:12" ht="15.75" customHeight="1" x14ac:dyDescent="0.25">
      <c r="A28" s="13">
        <v>21</v>
      </c>
      <c r="B28" s="10" t="s">
        <v>62</v>
      </c>
      <c r="C28" s="11" t="s">
        <v>80</v>
      </c>
      <c r="D28" s="12">
        <v>20</v>
      </c>
      <c r="E28" s="11" t="s">
        <v>90</v>
      </c>
      <c r="F28" s="12">
        <v>41</v>
      </c>
      <c r="G28" s="11" t="s">
        <v>84</v>
      </c>
      <c r="H28" s="12">
        <v>36</v>
      </c>
      <c r="I28" s="11" t="s">
        <v>103</v>
      </c>
      <c r="J28" s="12">
        <v>35</v>
      </c>
      <c r="K28" s="15" t="str">
        <f t="shared" si="0"/>
        <v>45</v>
      </c>
      <c r="L28" s="16">
        <f t="shared" si="1"/>
        <v>132</v>
      </c>
    </row>
    <row r="29" spans="1:12" ht="15.75" customHeight="1" x14ac:dyDescent="0.25">
      <c r="A29" s="13">
        <v>22</v>
      </c>
      <c r="B29" s="10" t="s">
        <v>49</v>
      </c>
      <c r="C29" s="11" t="s">
        <v>80</v>
      </c>
      <c r="D29" s="12">
        <v>20</v>
      </c>
      <c r="E29" s="11" t="s">
        <v>81</v>
      </c>
      <c r="F29" s="12">
        <v>42</v>
      </c>
      <c r="G29" s="11" t="s">
        <v>95</v>
      </c>
      <c r="H29" s="12">
        <v>39</v>
      </c>
      <c r="I29" s="11" t="s">
        <v>101</v>
      </c>
      <c r="J29" s="12">
        <v>37</v>
      </c>
      <c r="K29" s="15" t="str">
        <f t="shared" si="0"/>
        <v>24-28</v>
      </c>
      <c r="L29" s="16">
        <f t="shared" si="1"/>
        <v>138</v>
      </c>
    </row>
    <row r="30" spans="1:12" ht="15.75" customHeight="1" x14ac:dyDescent="0.25">
      <c r="A30" s="13">
        <v>23</v>
      </c>
      <c r="B30" s="10" t="s">
        <v>42</v>
      </c>
      <c r="C30" s="11" t="s">
        <v>85</v>
      </c>
      <c r="D30" s="12">
        <v>18</v>
      </c>
      <c r="E30" s="11" t="s">
        <v>88</v>
      </c>
      <c r="F30" s="12">
        <v>37</v>
      </c>
      <c r="G30" s="11" t="s">
        <v>94</v>
      </c>
      <c r="H30" s="12">
        <v>41</v>
      </c>
      <c r="I30" s="11" t="s">
        <v>77</v>
      </c>
      <c r="J30" s="12">
        <v>33</v>
      </c>
      <c r="K30" s="15" t="str">
        <f t="shared" si="0"/>
        <v>50-52</v>
      </c>
      <c r="L30" s="16">
        <f t="shared" si="1"/>
        <v>129</v>
      </c>
    </row>
    <row r="31" spans="1:12" ht="15.75" customHeight="1" x14ac:dyDescent="0.25">
      <c r="A31" s="13">
        <v>24</v>
      </c>
      <c r="B31" s="10" t="s">
        <v>61</v>
      </c>
      <c r="C31" s="11" t="s">
        <v>81</v>
      </c>
      <c r="D31" s="12">
        <v>24</v>
      </c>
      <c r="E31" s="11" t="s">
        <v>87</v>
      </c>
      <c r="F31" s="12">
        <v>40</v>
      </c>
      <c r="G31" s="11" t="s">
        <v>96</v>
      </c>
      <c r="H31" s="12">
        <v>40</v>
      </c>
      <c r="I31" s="11" t="s">
        <v>101</v>
      </c>
      <c r="J31" s="12">
        <v>37</v>
      </c>
      <c r="K31" s="15" t="str">
        <f t="shared" si="0"/>
        <v>15-18</v>
      </c>
      <c r="L31" s="16">
        <f t="shared" si="1"/>
        <v>141</v>
      </c>
    </row>
    <row r="32" spans="1:12" ht="15.75" customHeight="1" x14ac:dyDescent="0.25">
      <c r="A32" s="13">
        <v>25</v>
      </c>
      <c r="B32" s="10" t="s">
        <v>16</v>
      </c>
      <c r="C32" s="11" t="s">
        <v>81</v>
      </c>
      <c r="D32" s="12">
        <v>24</v>
      </c>
      <c r="E32" s="11" t="s">
        <v>81</v>
      </c>
      <c r="F32" s="12">
        <v>42</v>
      </c>
      <c r="G32" s="11" t="s">
        <v>94</v>
      </c>
      <c r="H32" s="12">
        <v>41</v>
      </c>
      <c r="I32" s="11" t="s">
        <v>102</v>
      </c>
      <c r="J32" s="12">
        <v>36</v>
      </c>
      <c r="K32" s="15" t="str">
        <f t="shared" si="0"/>
        <v>12-13</v>
      </c>
      <c r="L32" s="16">
        <f t="shared" si="1"/>
        <v>143</v>
      </c>
    </row>
    <row r="33" spans="1:12" ht="15.75" customHeight="1" x14ac:dyDescent="0.25">
      <c r="A33" s="13">
        <v>26</v>
      </c>
      <c r="B33" s="10" t="s">
        <v>50</v>
      </c>
      <c r="C33" s="11" t="s">
        <v>81</v>
      </c>
      <c r="D33" s="12">
        <v>24</v>
      </c>
      <c r="E33" s="11" t="s">
        <v>81</v>
      </c>
      <c r="F33" s="12">
        <v>42</v>
      </c>
      <c r="G33" s="11" t="s">
        <v>94</v>
      </c>
      <c r="H33" s="12">
        <v>41</v>
      </c>
      <c r="I33" s="11" t="s">
        <v>101</v>
      </c>
      <c r="J33" s="12">
        <v>37</v>
      </c>
      <c r="K33" s="15" t="str">
        <f t="shared" si="0"/>
        <v>1-11</v>
      </c>
      <c r="L33" s="16">
        <f t="shared" si="1"/>
        <v>144</v>
      </c>
    </row>
    <row r="34" spans="1:12" ht="15.75" customHeight="1" x14ac:dyDescent="0.25">
      <c r="A34" s="13">
        <v>27</v>
      </c>
      <c r="B34" s="10" t="s">
        <v>52</v>
      </c>
      <c r="C34" s="11" t="s">
        <v>80</v>
      </c>
      <c r="D34" s="12">
        <v>20</v>
      </c>
      <c r="E34" s="11" t="s">
        <v>81</v>
      </c>
      <c r="F34" s="12">
        <v>42</v>
      </c>
      <c r="G34" s="11" t="s">
        <v>98</v>
      </c>
      <c r="H34" s="12">
        <v>38</v>
      </c>
      <c r="I34" s="11" t="s">
        <v>101</v>
      </c>
      <c r="J34" s="12">
        <v>37</v>
      </c>
      <c r="K34" s="15" t="str">
        <f t="shared" si="0"/>
        <v>29-31</v>
      </c>
      <c r="L34" s="16">
        <f t="shared" si="1"/>
        <v>137</v>
      </c>
    </row>
    <row r="35" spans="1:12" ht="15.75" customHeight="1" x14ac:dyDescent="0.25">
      <c r="A35" s="13">
        <v>28</v>
      </c>
      <c r="B35" s="10" t="s">
        <v>51</v>
      </c>
      <c r="C35" s="11" t="s">
        <v>85</v>
      </c>
      <c r="D35" s="12">
        <v>18</v>
      </c>
      <c r="E35" s="11" t="s">
        <v>88</v>
      </c>
      <c r="F35" s="12">
        <v>37</v>
      </c>
      <c r="G35" s="11" t="s">
        <v>64</v>
      </c>
      <c r="H35" s="12">
        <v>32</v>
      </c>
      <c r="I35" s="11" t="s">
        <v>101</v>
      </c>
      <c r="J35" s="12">
        <v>37</v>
      </c>
      <c r="K35" s="15" t="str">
        <f t="shared" si="0"/>
        <v>57</v>
      </c>
      <c r="L35" s="16">
        <f t="shared" si="1"/>
        <v>124</v>
      </c>
    </row>
    <row r="36" spans="1:12" ht="15.75" customHeight="1" x14ac:dyDescent="0.25">
      <c r="A36" s="13">
        <v>29</v>
      </c>
      <c r="B36" s="10" t="s">
        <v>32</v>
      </c>
      <c r="C36" s="11" t="s">
        <v>81</v>
      </c>
      <c r="D36" s="12">
        <v>24</v>
      </c>
      <c r="E36" s="11" t="s">
        <v>86</v>
      </c>
      <c r="F36" s="12">
        <v>39</v>
      </c>
      <c r="G36" s="11" t="s">
        <v>84</v>
      </c>
      <c r="H36" s="12">
        <v>36</v>
      </c>
      <c r="I36" s="11" t="s">
        <v>68</v>
      </c>
      <c r="J36" s="12">
        <v>29</v>
      </c>
      <c r="K36" s="15" t="str">
        <f t="shared" si="0"/>
        <v>53-55</v>
      </c>
      <c r="L36" s="16">
        <f t="shared" si="1"/>
        <v>128</v>
      </c>
    </row>
    <row r="37" spans="1:12" ht="15.75" customHeight="1" x14ac:dyDescent="0.25">
      <c r="A37" s="13">
        <v>30</v>
      </c>
      <c r="B37" s="10" t="s">
        <v>28</v>
      </c>
      <c r="C37" s="11" t="s">
        <v>79</v>
      </c>
      <c r="D37" s="12">
        <v>21</v>
      </c>
      <c r="E37" s="11" t="s">
        <v>88</v>
      </c>
      <c r="F37" s="12">
        <v>37</v>
      </c>
      <c r="G37" s="11" t="s">
        <v>91</v>
      </c>
      <c r="H37" s="12">
        <v>33</v>
      </c>
      <c r="I37" s="11" t="s">
        <v>68</v>
      </c>
      <c r="J37" s="12">
        <v>29</v>
      </c>
      <c r="K37" s="15" t="str">
        <f t="shared" si="0"/>
        <v>60-61</v>
      </c>
      <c r="L37" s="16">
        <f t="shared" si="1"/>
        <v>120</v>
      </c>
    </row>
    <row r="38" spans="1:12" ht="15.75" customHeight="1" x14ac:dyDescent="0.25">
      <c r="A38" s="13">
        <v>31</v>
      </c>
      <c r="B38" s="10" t="s">
        <v>43</v>
      </c>
      <c r="C38" s="11" t="s">
        <v>84</v>
      </c>
      <c r="D38" s="12">
        <v>22</v>
      </c>
      <c r="E38" s="11" t="s">
        <v>81</v>
      </c>
      <c r="F38" s="12">
        <v>42</v>
      </c>
      <c r="G38" s="11" t="s">
        <v>94</v>
      </c>
      <c r="H38" s="12">
        <v>41</v>
      </c>
      <c r="I38" s="11" t="s">
        <v>101</v>
      </c>
      <c r="J38" s="12">
        <v>37</v>
      </c>
      <c r="K38" s="15" t="str">
        <f t="shared" si="0"/>
        <v>14</v>
      </c>
      <c r="L38" s="16">
        <f>D38+F38+H38+J38</f>
        <v>142</v>
      </c>
    </row>
    <row r="39" spans="1:12" ht="15.75" customHeight="1" x14ac:dyDescent="0.25">
      <c r="A39" s="13">
        <v>32</v>
      </c>
      <c r="B39" s="10" t="s">
        <v>9</v>
      </c>
      <c r="C39" s="11" t="s">
        <v>81</v>
      </c>
      <c r="D39" s="12">
        <v>24</v>
      </c>
      <c r="E39" s="11" t="s">
        <v>81</v>
      </c>
      <c r="F39" s="12">
        <v>42</v>
      </c>
      <c r="G39" s="11" t="s">
        <v>94</v>
      </c>
      <c r="H39" s="12">
        <v>41</v>
      </c>
      <c r="I39" s="11" t="s">
        <v>101</v>
      </c>
      <c r="J39" s="12">
        <v>37</v>
      </c>
      <c r="K39" s="15" t="str">
        <f t="shared" si="0"/>
        <v>1-11</v>
      </c>
      <c r="L39" s="16">
        <f t="shared" si="1"/>
        <v>144</v>
      </c>
    </row>
    <row r="40" spans="1:12" ht="15.75" customHeight="1" x14ac:dyDescent="0.25">
      <c r="A40" s="13">
        <v>33</v>
      </c>
      <c r="B40" s="10" t="s">
        <v>7</v>
      </c>
      <c r="C40" s="11" t="s">
        <v>81</v>
      </c>
      <c r="D40" s="12">
        <v>24</v>
      </c>
      <c r="E40" s="11" t="s">
        <v>81</v>
      </c>
      <c r="F40" s="12">
        <v>42</v>
      </c>
      <c r="G40" s="11" t="s">
        <v>94</v>
      </c>
      <c r="H40" s="12">
        <v>41</v>
      </c>
      <c r="I40" s="11" t="s">
        <v>101</v>
      </c>
      <c r="J40" s="12">
        <v>37</v>
      </c>
      <c r="K40" s="15" t="str">
        <f t="shared" si="0"/>
        <v>1-11</v>
      </c>
      <c r="L40" s="16">
        <f t="shared" si="1"/>
        <v>144</v>
      </c>
    </row>
    <row r="41" spans="1:12" ht="15.75" customHeight="1" x14ac:dyDescent="0.25">
      <c r="A41" s="13">
        <v>34</v>
      </c>
      <c r="B41" s="10" t="s">
        <v>55</v>
      </c>
      <c r="C41" s="11" t="s">
        <v>80</v>
      </c>
      <c r="D41" s="12">
        <v>20</v>
      </c>
      <c r="E41" s="11" t="s">
        <v>88</v>
      </c>
      <c r="F41" s="12">
        <v>37</v>
      </c>
      <c r="G41" s="11" t="s">
        <v>92</v>
      </c>
      <c r="H41" s="12">
        <v>35</v>
      </c>
      <c r="I41" s="11" t="s">
        <v>99</v>
      </c>
      <c r="J41" s="12">
        <v>34</v>
      </c>
      <c r="K41" s="15" t="str">
        <f t="shared" si="0"/>
        <v>56</v>
      </c>
      <c r="L41" s="16">
        <f t="shared" si="1"/>
        <v>126</v>
      </c>
    </row>
    <row r="42" spans="1:12" ht="15.75" customHeight="1" x14ac:dyDescent="0.25">
      <c r="A42" s="13">
        <v>35</v>
      </c>
      <c r="B42" s="10" t="s">
        <v>56</v>
      </c>
      <c r="C42" s="11" t="s">
        <v>80</v>
      </c>
      <c r="D42" s="12">
        <v>20</v>
      </c>
      <c r="E42" s="11" t="s">
        <v>87</v>
      </c>
      <c r="F42" s="12">
        <v>40</v>
      </c>
      <c r="G42" s="11" t="s">
        <v>95</v>
      </c>
      <c r="H42" s="12">
        <v>39</v>
      </c>
      <c r="I42" s="11" t="s">
        <v>101</v>
      </c>
      <c r="J42" s="12">
        <v>37</v>
      </c>
      <c r="K42" s="15" t="str">
        <f t="shared" si="0"/>
        <v>32-36</v>
      </c>
      <c r="L42" s="16">
        <f t="shared" si="1"/>
        <v>136</v>
      </c>
    </row>
    <row r="43" spans="1:12" ht="15.75" customHeight="1" x14ac:dyDescent="0.25">
      <c r="A43" s="13">
        <v>36</v>
      </c>
      <c r="B43" s="10" t="s">
        <v>15</v>
      </c>
      <c r="C43" s="11" t="s">
        <v>79</v>
      </c>
      <c r="D43" s="12">
        <v>21</v>
      </c>
      <c r="E43" s="11" t="s">
        <v>90</v>
      </c>
      <c r="F43" s="12">
        <v>41</v>
      </c>
      <c r="G43" s="11" t="s">
        <v>94</v>
      </c>
      <c r="H43" s="12">
        <v>41</v>
      </c>
      <c r="I43" s="11" t="s">
        <v>77</v>
      </c>
      <c r="J43" s="12">
        <v>33</v>
      </c>
      <c r="K43" s="15" t="str">
        <f t="shared" si="0"/>
        <v>32-36</v>
      </c>
      <c r="L43" s="16">
        <f t="shared" si="1"/>
        <v>136</v>
      </c>
    </row>
    <row r="44" spans="1:12" ht="15.75" customHeight="1" x14ac:dyDescent="0.25">
      <c r="A44" s="13">
        <v>37</v>
      </c>
      <c r="B44" s="10" t="s">
        <v>2</v>
      </c>
      <c r="C44" s="11" t="s">
        <v>81</v>
      </c>
      <c r="D44" s="12">
        <v>24</v>
      </c>
      <c r="E44" s="11" t="s">
        <v>81</v>
      </c>
      <c r="F44" s="12">
        <v>42</v>
      </c>
      <c r="G44" s="11" t="s">
        <v>98</v>
      </c>
      <c r="H44" s="12">
        <v>38</v>
      </c>
      <c r="I44" s="11" t="s">
        <v>101</v>
      </c>
      <c r="J44" s="12">
        <v>37</v>
      </c>
      <c r="K44" s="15" t="str">
        <f t="shared" si="0"/>
        <v>15-18</v>
      </c>
      <c r="L44" s="16">
        <f t="shared" si="1"/>
        <v>141</v>
      </c>
    </row>
    <row r="45" spans="1:12" ht="15.75" customHeight="1" x14ac:dyDescent="0.25">
      <c r="A45" s="13">
        <v>38</v>
      </c>
      <c r="B45" s="10" t="s">
        <v>10</v>
      </c>
      <c r="C45" s="11" t="s">
        <v>81</v>
      </c>
      <c r="D45" s="12">
        <v>24</v>
      </c>
      <c r="E45" s="11" t="s">
        <v>81</v>
      </c>
      <c r="F45" s="12">
        <v>42</v>
      </c>
      <c r="G45" s="11" t="s">
        <v>93</v>
      </c>
      <c r="H45" s="12">
        <v>34</v>
      </c>
      <c r="I45" s="11" t="s">
        <v>101</v>
      </c>
      <c r="J45" s="12">
        <v>37</v>
      </c>
      <c r="K45" s="15" t="str">
        <f t="shared" si="0"/>
        <v>29-31</v>
      </c>
      <c r="L45" s="16">
        <f t="shared" si="1"/>
        <v>137</v>
      </c>
    </row>
    <row r="46" spans="1:12" ht="15.75" customHeight="1" x14ac:dyDescent="0.25">
      <c r="A46" s="13">
        <v>39</v>
      </c>
      <c r="B46" s="10" t="s">
        <v>45</v>
      </c>
      <c r="C46" s="11" t="s">
        <v>80</v>
      </c>
      <c r="D46" s="12">
        <v>20</v>
      </c>
      <c r="E46" s="11" t="s">
        <v>90</v>
      </c>
      <c r="F46" s="12">
        <v>41</v>
      </c>
      <c r="G46" s="11" t="s">
        <v>93</v>
      </c>
      <c r="H46" s="12">
        <v>34</v>
      </c>
      <c r="I46" s="11" t="s">
        <v>103</v>
      </c>
      <c r="J46" s="12">
        <v>35</v>
      </c>
      <c r="K46" s="15" t="str">
        <f t="shared" si="0"/>
        <v>48-49</v>
      </c>
      <c r="L46" s="16">
        <f t="shared" si="1"/>
        <v>130</v>
      </c>
    </row>
    <row r="47" spans="1:12" ht="15.75" customHeight="1" x14ac:dyDescent="0.25">
      <c r="A47" s="13">
        <v>40</v>
      </c>
      <c r="B47" s="10" t="s">
        <v>36</v>
      </c>
      <c r="C47" s="11" t="s">
        <v>84</v>
      </c>
      <c r="D47" s="12">
        <v>22</v>
      </c>
      <c r="E47" s="11" t="s">
        <v>89</v>
      </c>
      <c r="F47" s="12">
        <v>38</v>
      </c>
      <c r="G47" s="11" t="s">
        <v>84</v>
      </c>
      <c r="H47" s="12">
        <v>36</v>
      </c>
      <c r="I47" s="11" t="s">
        <v>77</v>
      </c>
      <c r="J47" s="12">
        <v>33</v>
      </c>
      <c r="K47" s="15" t="str">
        <f t="shared" si="0"/>
        <v>50-52</v>
      </c>
      <c r="L47" s="16">
        <f t="shared" si="1"/>
        <v>129</v>
      </c>
    </row>
    <row r="48" spans="1:12" ht="15.75" customHeight="1" x14ac:dyDescent="0.25">
      <c r="A48" s="13">
        <v>41</v>
      </c>
      <c r="B48" s="10" t="s">
        <v>17</v>
      </c>
      <c r="C48" s="11" t="s">
        <v>83</v>
      </c>
      <c r="D48" s="12">
        <v>23</v>
      </c>
      <c r="E48" s="11" t="s">
        <v>81</v>
      </c>
      <c r="F48" s="12">
        <v>42</v>
      </c>
      <c r="G48" s="11" t="s">
        <v>84</v>
      </c>
      <c r="H48" s="12">
        <v>36</v>
      </c>
      <c r="I48" s="11" t="s">
        <v>101</v>
      </c>
      <c r="J48" s="12">
        <v>37</v>
      </c>
      <c r="K48" s="15" t="str">
        <f t="shared" si="0"/>
        <v>24-28</v>
      </c>
      <c r="L48" s="16">
        <f t="shared" si="1"/>
        <v>138</v>
      </c>
    </row>
    <row r="49" spans="1:12" ht="15.75" customHeight="1" x14ac:dyDescent="0.25">
      <c r="A49" s="13">
        <v>42</v>
      </c>
      <c r="B49" s="10" t="s">
        <v>60</v>
      </c>
      <c r="C49" s="11" t="s">
        <v>81</v>
      </c>
      <c r="D49" s="12">
        <v>24</v>
      </c>
      <c r="E49" s="11" t="s">
        <v>86</v>
      </c>
      <c r="F49" s="12">
        <v>39</v>
      </c>
      <c r="G49" s="11" t="s">
        <v>91</v>
      </c>
      <c r="H49" s="12">
        <v>33</v>
      </c>
      <c r="I49" s="11" t="s">
        <v>101</v>
      </c>
      <c r="J49" s="12">
        <v>37</v>
      </c>
      <c r="K49" s="15" t="str">
        <f t="shared" si="0"/>
        <v>43-44</v>
      </c>
      <c r="L49" s="16">
        <f t="shared" si="1"/>
        <v>133</v>
      </c>
    </row>
    <row r="50" spans="1:12" ht="15.75" customHeight="1" x14ac:dyDescent="0.25">
      <c r="A50" s="13">
        <v>43</v>
      </c>
      <c r="B50" s="10" t="s">
        <v>26</v>
      </c>
      <c r="C50" s="11" t="s">
        <v>82</v>
      </c>
      <c r="D50" s="12">
        <v>19</v>
      </c>
      <c r="E50" s="11" t="s">
        <v>88</v>
      </c>
      <c r="F50" s="12">
        <v>37</v>
      </c>
      <c r="G50" s="11" t="s">
        <v>91</v>
      </c>
      <c r="H50" s="12">
        <v>33</v>
      </c>
      <c r="I50" s="11" t="s">
        <v>78</v>
      </c>
      <c r="J50" s="12">
        <v>31</v>
      </c>
      <c r="K50" s="15" t="str">
        <f t="shared" si="0"/>
        <v>60-61</v>
      </c>
      <c r="L50" s="16">
        <f t="shared" si="1"/>
        <v>120</v>
      </c>
    </row>
    <row r="51" spans="1:12" ht="15.75" customHeight="1" x14ac:dyDescent="0.25">
      <c r="A51" s="13">
        <v>44</v>
      </c>
      <c r="B51" s="10" t="s">
        <v>46</v>
      </c>
      <c r="C51" s="11" t="s">
        <v>82</v>
      </c>
      <c r="D51" s="12">
        <v>19</v>
      </c>
      <c r="E51" s="11" t="s">
        <v>90</v>
      </c>
      <c r="F51" s="12">
        <v>41</v>
      </c>
      <c r="G51" s="11" t="s">
        <v>66</v>
      </c>
      <c r="H51" s="12">
        <v>27</v>
      </c>
      <c r="I51" s="11" t="s">
        <v>103</v>
      </c>
      <c r="J51" s="12">
        <v>35</v>
      </c>
      <c r="K51" s="15" t="str">
        <f t="shared" si="0"/>
        <v>59</v>
      </c>
      <c r="L51" s="16">
        <f t="shared" si="1"/>
        <v>122</v>
      </c>
    </row>
    <row r="52" spans="1:12" ht="15.75" customHeight="1" x14ac:dyDescent="0.25">
      <c r="A52" s="13">
        <v>45</v>
      </c>
      <c r="B52" s="10" t="s">
        <v>24</v>
      </c>
      <c r="C52" s="11" t="s">
        <v>81</v>
      </c>
      <c r="D52" s="12">
        <v>24</v>
      </c>
      <c r="E52" s="11" t="s">
        <v>81</v>
      </c>
      <c r="F52" s="12">
        <v>42</v>
      </c>
      <c r="G52" s="11" t="s">
        <v>94</v>
      </c>
      <c r="H52" s="12">
        <v>41</v>
      </c>
      <c r="I52" s="11" t="s">
        <v>101</v>
      </c>
      <c r="J52" s="12">
        <v>37</v>
      </c>
      <c r="K52" s="15" t="str">
        <f t="shared" si="0"/>
        <v>1-11</v>
      </c>
      <c r="L52" s="16">
        <f t="shared" si="1"/>
        <v>144</v>
      </c>
    </row>
    <row r="53" spans="1:12" ht="15.75" customHeight="1" x14ac:dyDescent="0.25">
      <c r="A53" s="13">
        <v>46</v>
      </c>
      <c r="B53" s="10" t="s">
        <v>31</v>
      </c>
      <c r="C53" s="11" t="s">
        <v>82</v>
      </c>
      <c r="D53" s="12">
        <v>19</v>
      </c>
      <c r="E53" s="11" t="s">
        <v>67</v>
      </c>
      <c r="F53" s="12">
        <v>34</v>
      </c>
      <c r="G53" s="11" t="s">
        <v>67</v>
      </c>
      <c r="H53" s="12">
        <v>31</v>
      </c>
      <c r="I53" s="11" t="s">
        <v>77</v>
      </c>
      <c r="J53" s="12">
        <v>33</v>
      </c>
      <c r="K53" s="15" t="str">
        <f t="shared" si="0"/>
        <v>62-63</v>
      </c>
      <c r="L53" s="16">
        <f t="shared" si="1"/>
        <v>117</v>
      </c>
    </row>
    <row r="54" spans="1:12" ht="15.75" customHeight="1" x14ac:dyDescent="0.25">
      <c r="A54" s="13">
        <v>47</v>
      </c>
      <c r="B54" s="10" t="s">
        <v>18</v>
      </c>
      <c r="C54" s="11" t="s">
        <v>81</v>
      </c>
      <c r="D54" s="12">
        <v>24</v>
      </c>
      <c r="E54" s="11" t="s">
        <v>81</v>
      </c>
      <c r="F54" s="12">
        <v>42</v>
      </c>
      <c r="G54" s="11" t="s">
        <v>93</v>
      </c>
      <c r="H54" s="12">
        <v>34</v>
      </c>
      <c r="I54" s="11" t="s">
        <v>103</v>
      </c>
      <c r="J54" s="12">
        <v>35</v>
      </c>
      <c r="K54" s="15" t="str">
        <f t="shared" si="0"/>
        <v>37-40</v>
      </c>
      <c r="L54" s="16">
        <f t="shared" si="1"/>
        <v>135</v>
      </c>
    </row>
    <row r="55" spans="1:12" ht="15.75" customHeight="1" x14ac:dyDescent="0.25">
      <c r="A55" s="13">
        <v>48</v>
      </c>
      <c r="B55" s="10" t="s">
        <v>11</v>
      </c>
      <c r="C55" s="11" t="s">
        <v>84</v>
      </c>
      <c r="D55" s="12">
        <v>22</v>
      </c>
      <c r="E55" s="11" t="s">
        <v>87</v>
      </c>
      <c r="F55" s="12">
        <v>40</v>
      </c>
      <c r="G55" s="11" t="s">
        <v>94</v>
      </c>
      <c r="H55" s="12">
        <v>41</v>
      </c>
      <c r="I55" s="11" t="s">
        <v>103</v>
      </c>
      <c r="J55" s="12">
        <v>35</v>
      </c>
      <c r="K55" s="15" t="str">
        <f t="shared" si="0"/>
        <v>24-28</v>
      </c>
      <c r="L55" s="16">
        <f t="shared" si="1"/>
        <v>138</v>
      </c>
    </row>
    <row r="56" spans="1:12" ht="15.75" customHeight="1" x14ac:dyDescent="0.25">
      <c r="A56" s="13">
        <v>49</v>
      </c>
      <c r="B56" s="10" t="s">
        <v>33</v>
      </c>
      <c r="C56" s="11" t="s">
        <v>79</v>
      </c>
      <c r="D56" s="12">
        <v>21</v>
      </c>
      <c r="E56" s="11" t="s">
        <v>87</v>
      </c>
      <c r="F56" s="12">
        <v>40</v>
      </c>
      <c r="G56" s="11" t="s">
        <v>97</v>
      </c>
      <c r="H56" s="12">
        <v>37</v>
      </c>
      <c r="I56" s="11" t="s">
        <v>77</v>
      </c>
      <c r="J56" s="12">
        <v>33</v>
      </c>
      <c r="K56" s="15" t="str">
        <f t="shared" si="0"/>
        <v>46-47</v>
      </c>
      <c r="L56" s="16">
        <f t="shared" si="1"/>
        <v>131</v>
      </c>
    </row>
    <row r="57" spans="1:12" s="18" customFormat="1" ht="15.75" customHeight="1" x14ac:dyDescent="0.25">
      <c r="A57" s="17">
        <v>50</v>
      </c>
      <c r="B57" s="19" t="s">
        <v>19</v>
      </c>
      <c r="C57" s="20" t="s">
        <v>81</v>
      </c>
      <c r="D57" s="21">
        <v>24</v>
      </c>
      <c r="E57" s="20" t="s">
        <v>81</v>
      </c>
      <c r="F57" s="21">
        <v>42</v>
      </c>
      <c r="G57" s="20" t="s">
        <v>94</v>
      </c>
      <c r="H57" s="21">
        <v>41</v>
      </c>
      <c r="I57" s="20" t="s">
        <v>101</v>
      </c>
      <c r="J57" s="21">
        <v>37</v>
      </c>
      <c r="K57" s="22" t="str">
        <f t="shared" si="0"/>
        <v>1-11</v>
      </c>
      <c r="L57" s="23">
        <f t="shared" si="1"/>
        <v>144</v>
      </c>
    </row>
    <row r="58" spans="1:12" ht="15.75" customHeight="1" x14ac:dyDescent="0.25">
      <c r="A58" s="13">
        <v>51</v>
      </c>
      <c r="B58" s="10" t="s">
        <v>29</v>
      </c>
      <c r="C58" s="11" t="s">
        <v>81</v>
      </c>
      <c r="D58" s="12">
        <v>24</v>
      </c>
      <c r="E58" s="11" t="s">
        <v>87</v>
      </c>
      <c r="F58" s="12">
        <v>40</v>
      </c>
      <c r="G58" s="11" t="s">
        <v>84</v>
      </c>
      <c r="H58" s="12">
        <v>36</v>
      </c>
      <c r="I58" s="11" t="s">
        <v>101</v>
      </c>
      <c r="J58" s="12">
        <v>37</v>
      </c>
      <c r="K58" s="15" t="str">
        <f t="shared" si="0"/>
        <v>29-31</v>
      </c>
      <c r="L58" s="16">
        <f t="shared" si="1"/>
        <v>137</v>
      </c>
    </row>
    <row r="59" spans="1:12" ht="15.75" customHeight="1" x14ac:dyDescent="0.25">
      <c r="A59" s="13">
        <v>52</v>
      </c>
      <c r="B59" s="10" t="s">
        <v>22</v>
      </c>
      <c r="C59" s="11" t="s">
        <v>84</v>
      </c>
      <c r="D59" s="12">
        <v>22</v>
      </c>
      <c r="E59" s="11" t="s">
        <v>87</v>
      </c>
      <c r="F59" s="12">
        <v>40</v>
      </c>
      <c r="G59" s="11" t="s">
        <v>95</v>
      </c>
      <c r="H59" s="12">
        <v>39</v>
      </c>
      <c r="I59" s="11" t="s">
        <v>101</v>
      </c>
      <c r="J59" s="12">
        <v>37</v>
      </c>
      <c r="K59" s="15" t="str">
        <f t="shared" si="0"/>
        <v>24-28</v>
      </c>
      <c r="L59" s="16">
        <f t="shared" si="1"/>
        <v>138</v>
      </c>
    </row>
    <row r="60" spans="1:12" ht="15.75" customHeight="1" x14ac:dyDescent="0.25">
      <c r="A60" s="13">
        <v>53</v>
      </c>
      <c r="B60" s="10" t="s">
        <v>23</v>
      </c>
      <c r="C60" s="11" t="s">
        <v>83</v>
      </c>
      <c r="D60" s="12">
        <v>23</v>
      </c>
      <c r="E60" s="11" t="s">
        <v>87</v>
      </c>
      <c r="F60" s="12">
        <v>40</v>
      </c>
      <c r="G60" s="11" t="s">
        <v>93</v>
      </c>
      <c r="H60" s="12">
        <v>34</v>
      </c>
      <c r="I60" s="11" t="s">
        <v>101</v>
      </c>
      <c r="J60" s="12">
        <v>37</v>
      </c>
      <c r="K60" s="15" t="str">
        <f t="shared" si="0"/>
        <v>41-42</v>
      </c>
      <c r="L60" s="16">
        <f t="shared" si="1"/>
        <v>134</v>
      </c>
    </row>
    <row r="61" spans="1:12" ht="15.75" customHeight="1" x14ac:dyDescent="0.25">
      <c r="A61" s="13">
        <v>54</v>
      </c>
      <c r="B61" s="10" t="s">
        <v>57</v>
      </c>
      <c r="C61" s="11" t="s">
        <v>83</v>
      </c>
      <c r="D61" s="12">
        <v>23</v>
      </c>
      <c r="E61" s="11" t="s">
        <v>86</v>
      </c>
      <c r="F61" s="12">
        <v>39</v>
      </c>
      <c r="G61" s="11" t="s">
        <v>95</v>
      </c>
      <c r="H61" s="12">
        <v>39</v>
      </c>
      <c r="I61" s="11" t="s">
        <v>103</v>
      </c>
      <c r="J61" s="12">
        <v>35</v>
      </c>
      <c r="K61" s="15" t="str">
        <f t="shared" si="0"/>
        <v>32-36</v>
      </c>
      <c r="L61" s="16">
        <f t="shared" si="1"/>
        <v>136</v>
      </c>
    </row>
    <row r="62" spans="1:12" ht="15.75" customHeight="1" x14ac:dyDescent="0.25">
      <c r="A62" s="13">
        <v>55</v>
      </c>
      <c r="B62" s="10" t="s">
        <v>20</v>
      </c>
      <c r="C62" s="11" t="s">
        <v>81</v>
      </c>
      <c r="D62" s="12">
        <v>24</v>
      </c>
      <c r="E62" s="11" t="s">
        <v>81</v>
      </c>
      <c r="F62" s="12">
        <v>42</v>
      </c>
      <c r="G62" s="11" t="s">
        <v>94</v>
      </c>
      <c r="H62" s="12">
        <v>41</v>
      </c>
      <c r="I62" s="11" t="s">
        <v>101</v>
      </c>
      <c r="J62" s="12">
        <v>37</v>
      </c>
      <c r="K62" s="15" t="str">
        <f t="shared" si="0"/>
        <v>1-11</v>
      </c>
      <c r="L62" s="16">
        <f t="shared" si="1"/>
        <v>144</v>
      </c>
    </row>
    <row r="63" spans="1:12" ht="15.75" customHeight="1" x14ac:dyDescent="0.25">
      <c r="A63" s="13">
        <v>56</v>
      </c>
      <c r="B63" s="10" t="s">
        <v>3</v>
      </c>
      <c r="C63" s="11" t="s">
        <v>81</v>
      </c>
      <c r="D63" s="12">
        <v>24</v>
      </c>
      <c r="E63" s="11" t="s">
        <v>81</v>
      </c>
      <c r="F63" s="12">
        <v>42</v>
      </c>
      <c r="G63" s="11" t="s">
        <v>94</v>
      </c>
      <c r="H63" s="12">
        <v>41</v>
      </c>
      <c r="I63" s="11" t="s">
        <v>101</v>
      </c>
      <c r="J63" s="12">
        <v>37</v>
      </c>
      <c r="K63" s="15" t="str">
        <f t="shared" si="0"/>
        <v>1-11</v>
      </c>
      <c r="L63" s="16">
        <f t="shared" si="1"/>
        <v>144</v>
      </c>
    </row>
    <row r="64" spans="1:12" ht="15.75" customHeight="1" x14ac:dyDescent="0.25">
      <c r="A64" s="13">
        <v>57</v>
      </c>
      <c r="B64" s="10" t="s">
        <v>63</v>
      </c>
      <c r="C64" s="11" t="s">
        <v>81</v>
      </c>
      <c r="D64" s="12">
        <v>24</v>
      </c>
      <c r="E64" s="11" t="s">
        <v>81</v>
      </c>
      <c r="F64" s="12">
        <v>42</v>
      </c>
      <c r="G64" s="11" t="s">
        <v>98</v>
      </c>
      <c r="H64" s="12">
        <v>38</v>
      </c>
      <c r="I64" s="11" t="s">
        <v>103</v>
      </c>
      <c r="J64" s="12">
        <v>35</v>
      </c>
      <c r="K64" s="15" t="str">
        <f t="shared" si="0"/>
        <v>20-23</v>
      </c>
      <c r="L64" s="16">
        <f t="shared" si="1"/>
        <v>139</v>
      </c>
    </row>
    <row r="65" spans="1:12" ht="15.75" customHeight="1" x14ac:dyDescent="0.25">
      <c r="A65" s="13">
        <v>58</v>
      </c>
      <c r="B65" s="10" t="s">
        <v>35</v>
      </c>
      <c r="C65" s="11" t="s">
        <v>80</v>
      </c>
      <c r="D65" s="12">
        <v>20</v>
      </c>
      <c r="E65" s="11" t="s">
        <v>64</v>
      </c>
      <c r="F65" s="12">
        <v>36</v>
      </c>
      <c r="G65" s="11" t="s">
        <v>92</v>
      </c>
      <c r="H65" s="12">
        <v>35</v>
      </c>
      <c r="I65" s="11" t="s">
        <v>66</v>
      </c>
      <c r="J65" s="12">
        <v>26</v>
      </c>
      <c r="K65" s="15" t="str">
        <f t="shared" si="0"/>
        <v>62-63</v>
      </c>
      <c r="L65" s="16">
        <f t="shared" si="1"/>
        <v>117</v>
      </c>
    </row>
    <row r="66" spans="1:12" ht="15.75" customHeight="1" x14ac:dyDescent="0.25">
      <c r="A66" s="13">
        <v>59</v>
      </c>
      <c r="B66" s="10" t="s">
        <v>6</v>
      </c>
      <c r="C66" s="11" t="s">
        <v>81</v>
      </c>
      <c r="D66" s="12">
        <v>24</v>
      </c>
      <c r="E66" s="11" t="s">
        <v>81</v>
      </c>
      <c r="F66" s="12">
        <v>42</v>
      </c>
      <c r="G66" s="11" t="s">
        <v>94</v>
      </c>
      <c r="H66" s="12">
        <v>41</v>
      </c>
      <c r="I66" s="11" t="s">
        <v>101</v>
      </c>
      <c r="J66" s="12">
        <v>37</v>
      </c>
      <c r="K66" s="15" t="str">
        <f t="shared" si="0"/>
        <v>1-11</v>
      </c>
      <c r="L66" s="16">
        <f t="shared" si="1"/>
        <v>144</v>
      </c>
    </row>
    <row r="67" spans="1:12" ht="15.75" customHeight="1" x14ac:dyDescent="0.25">
      <c r="A67" s="13">
        <v>60</v>
      </c>
      <c r="B67" s="10" t="s">
        <v>58</v>
      </c>
      <c r="C67" s="11" t="s">
        <v>83</v>
      </c>
      <c r="D67" s="12">
        <v>23</v>
      </c>
      <c r="E67" s="11" t="s">
        <v>81</v>
      </c>
      <c r="F67" s="12">
        <v>42</v>
      </c>
      <c r="G67" s="11" t="s">
        <v>92</v>
      </c>
      <c r="H67" s="12">
        <v>35</v>
      </c>
      <c r="I67" s="11" t="s">
        <v>99</v>
      </c>
      <c r="J67" s="12">
        <v>34</v>
      </c>
      <c r="K67" s="15" t="str">
        <f t="shared" si="0"/>
        <v>41-42</v>
      </c>
      <c r="L67" s="16">
        <f t="shared" si="1"/>
        <v>134</v>
      </c>
    </row>
    <row r="68" spans="1:12" ht="15.75" customHeight="1" x14ac:dyDescent="0.25">
      <c r="A68" s="13">
        <v>61</v>
      </c>
      <c r="B68" s="10" t="s">
        <v>4</v>
      </c>
      <c r="C68" s="11" t="s">
        <v>81</v>
      </c>
      <c r="D68" s="12">
        <v>24</v>
      </c>
      <c r="E68" s="11" t="s">
        <v>81</v>
      </c>
      <c r="F68" s="12">
        <v>42</v>
      </c>
      <c r="G68" s="11" t="s">
        <v>94</v>
      </c>
      <c r="H68" s="12">
        <v>41</v>
      </c>
      <c r="I68" s="11" t="s">
        <v>101</v>
      </c>
      <c r="J68" s="12">
        <v>37</v>
      </c>
      <c r="K68" s="15" t="str">
        <f t="shared" si="0"/>
        <v>1-11</v>
      </c>
      <c r="L68" s="16">
        <f t="shared" si="1"/>
        <v>144</v>
      </c>
    </row>
    <row r="69" spans="1:12" ht="15.75" customHeight="1" x14ac:dyDescent="0.25">
      <c r="A69" s="13">
        <v>62</v>
      </c>
      <c r="B69" s="10" t="s">
        <v>47</v>
      </c>
      <c r="C69" s="11" t="s">
        <v>81</v>
      </c>
      <c r="D69" s="12">
        <v>24</v>
      </c>
      <c r="E69" s="11" t="s">
        <v>88</v>
      </c>
      <c r="F69" s="12">
        <v>37</v>
      </c>
      <c r="G69" s="11" t="s">
        <v>98</v>
      </c>
      <c r="H69" s="12">
        <v>38</v>
      </c>
      <c r="I69" s="11" t="s">
        <v>101</v>
      </c>
      <c r="J69" s="12">
        <v>37</v>
      </c>
      <c r="K69" s="15" t="str">
        <f t="shared" si="0"/>
        <v>32-36</v>
      </c>
      <c r="L69" s="16">
        <f t="shared" si="1"/>
        <v>136</v>
      </c>
    </row>
    <row r="70" spans="1:12" ht="15.75" customHeight="1" x14ac:dyDescent="0.25">
      <c r="A70" s="13">
        <v>63</v>
      </c>
      <c r="B70" s="10" t="s">
        <v>12</v>
      </c>
      <c r="C70" s="11" t="s">
        <v>81</v>
      </c>
      <c r="D70" s="12">
        <v>24</v>
      </c>
      <c r="E70" s="11" t="s">
        <v>81</v>
      </c>
      <c r="F70" s="12">
        <v>42</v>
      </c>
      <c r="G70" s="11" t="s">
        <v>94</v>
      </c>
      <c r="H70" s="12">
        <v>41</v>
      </c>
      <c r="I70" s="11" t="s">
        <v>101</v>
      </c>
      <c r="J70" s="12">
        <v>37</v>
      </c>
      <c r="K70" s="15" t="str">
        <f t="shared" si="0"/>
        <v>1-11</v>
      </c>
      <c r="L70" s="16">
        <f t="shared" si="1"/>
        <v>144</v>
      </c>
    </row>
    <row r="71" spans="1:12" x14ac:dyDescent="0.25">
      <c r="B71" s="3"/>
      <c r="C71" s="3"/>
      <c r="D71" s="5"/>
      <c r="E71" s="3"/>
      <c r="F71" s="5"/>
      <c r="G71" s="3"/>
      <c r="H71" s="5"/>
      <c r="I71" s="3"/>
      <c r="J71" s="5"/>
      <c r="K71" s="3"/>
      <c r="L71" s="6"/>
    </row>
    <row r="72" spans="1:12" x14ac:dyDescent="0.25">
      <c r="B72" s="3"/>
      <c r="C72" s="3"/>
      <c r="D72" s="6"/>
      <c r="E72" s="4"/>
      <c r="F72" s="6"/>
      <c r="G72" s="4"/>
      <c r="H72" s="6"/>
      <c r="I72" s="4"/>
      <c r="J72" s="6"/>
      <c r="K72" s="4"/>
      <c r="L72" s="31">
        <f>SUM(L8:L70)</f>
        <v>8521</v>
      </c>
    </row>
    <row r="73" spans="1:12" x14ac:dyDescent="0.25">
      <c r="B73" s="3"/>
      <c r="C73" s="4"/>
      <c r="D73" s="6"/>
      <c r="E73" s="4"/>
      <c r="F73" s="6"/>
      <c r="G73" s="4"/>
      <c r="H73" s="6"/>
      <c r="I73" s="4"/>
      <c r="J73" s="6"/>
      <c r="K73" s="4"/>
      <c r="L73" s="32">
        <f>L72/63</f>
        <v>135.25396825396825</v>
      </c>
    </row>
    <row r="74" spans="1:12" x14ac:dyDescent="0.25">
      <c r="L74" s="32">
        <f>35/37*100</f>
        <v>94.594594594594597</v>
      </c>
    </row>
  </sheetData>
  <autoFilter ref="B7:L70"/>
  <mergeCells count="18">
    <mergeCell ref="E4:F4"/>
    <mergeCell ref="E5:E6"/>
    <mergeCell ref="A4:A6"/>
    <mergeCell ref="A2:L2"/>
    <mergeCell ref="F5:F6"/>
    <mergeCell ref="C4:D4"/>
    <mergeCell ref="C5:C6"/>
    <mergeCell ref="D5:D6"/>
    <mergeCell ref="K4:L4"/>
    <mergeCell ref="K5:K6"/>
    <mergeCell ref="L5:L6"/>
    <mergeCell ref="I5:I6"/>
    <mergeCell ref="J5:J6"/>
    <mergeCell ref="I4:J4"/>
    <mergeCell ref="G4:H4"/>
    <mergeCell ref="G5:G6"/>
    <mergeCell ref="B4:B6"/>
    <mergeCell ref="H5:H6"/>
  </mergeCells>
  <pageMargins left="0.78740157480314965" right="0.19685039370078741" top="0.39370078740157483" bottom="0.19685039370078741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2024-02-09T13:00:23Z</dcterms:modified>
</cp:coreProperties>
</file>